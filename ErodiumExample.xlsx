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cbio019/Documents/BIO 407 PLANT ECOLOGY/BIOL 407 Spring 2024/"/>
    </mc:Choice>
  </mc:AlternateContent>
  <xr:revisionPtr revIDLastSave="0" documentId="8_{3637F973-8A02-634E-8259-FB9FF7404002}" xr6:coauthVersionLast="47" xr6:coauthVersionMax="47" xr10:uidLastSave="{00000000-0000-0000-0000-000000000000}"/>
  <bookViews>
    <workbookView xWindow="460" yWindow="740" windowWidth="28040" windowHeight="16640" xr2:uid="{D6022B0E-66F2-D44E-A412-C992417B1A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7" i="1" l="1"/>
  <c r="C78" i="1"/>
  <c r="C77" i="1"/>
  <c r="B78" i="1"/>
  <c r="D78" i="1" s="1"/>
  <c r="B77" i="1"/>
  <c r="D77" i="1" s="1"/>
</calcChain>
</file>

<file path=xl/sharedStrings.xml><?xml version="1.0" encoding="utf-8"?>
<sst xmlns="http://schemas.openxmlformats.org/spreadsheetml/2006/main" count="121" uniqueCount="49">
  <si>
    <t>treatment</t>
  </si>
  <si>
    <t>sun</t>
  </si>
  <si>
    <t>shade</t>
  </si>
  <si>
    <t xml:space="preserve"> </t>
  </si>
  <si>
    <t># leaves/plant</t>
  </si>
  <si>
    <t>plant #</t>
  </si>
  <si>
    <t>sample size</t>
  </si>
  <si>
    <t>S.E.</t>
  </si>
  <si>
    <t>t-test P-value</t>
  </si>
  <si>
    <t>IMPORTANT:</t>
  </si>
  <si>
    <r>
      <t xml:space="preserve">1.  </t>
    </r>
    <r>
      <rPr>
        <sz val="11"/>
        <color rgb="FF000000"/>
        <rFont val="Calibri"/>
        <family val="2"/>
        <scheme val="minor"/>
      </rPr>
      <t xml:space="preserve">mean = average </t>
    </r>
  </si>
  <si>
    <r>
      <t xml:space="preserve">2.     </t>
    </r>
    <r>
      <rPr>
        <sz val="11"/>
        <color rgb="FF000000"/>
        <rFont val="Calibri"/>
        <family val="2"/>
        <scheme val="minor"/>
      </rPr>
      <t>S.E. = standard error of the mean</t>
    </r>
  </si>
  <si>
    <r>
      <t xml:space="preserve">5.  </t>
    </r>
    <r>
      <rPr>
        <sz val="11"/>
        <color rgb="FF000000"/>
        <rFont val="Calibri"/>
        <family val="2"/>
        <scheme val="minor"/>
      </rPr>
      <t>Variability among samples in a data set is commonplace.  A large S.E. can</t>
    </r>
  </si>
  <si>
    <t>reflect reality.  A large S.E. does NOT necessarily indicate that there is anything</t>
  </si>
  <si>
    <t>wrong with your data.  Large S.E.'s are only bad when they are caused by sloppy</t>
  </si>
  <si>
    <t>or inaccurate or unrepresentative data collection!</t>
  </si>
  <si>
    <r>
      <t xml:space="preserve">6.  </t>
    </r>
    <r>
      <rPr>
        <sz val="11"/>
        <color rgb="FF000000"/>
        <rFont val="Calibri"/>
        <family val="2"/>
        <scheme val="minor"/>
      </rPr>
      <t>The two-sample t-test can be used to determine whether an attribute differs</t>
    </r>
  </si>
  <si>
    <r>
      <t>● If the data support the alternative hypothesis</t>
    </r>
    <r>
      <rPr>
        <sz val="11"/>
        <color rgb="FF000000"/>
        <rFont val="Calibri"/>
        <family val="2"/>
        <scheme val="minor"/>
      </rPr>
      <t xml:space="preserve">, then the difference between </t>
    </r>
  </si>
  <si>
    <t>difference between the groups is probably real and not just due to chance</t>
  </si>
  <si>
    <r>
      <t xml:space="preserve">● </t>
    </r>
    <r>
      <rPr>
        <sz val="11"/>
        <color rgb="FF000000"/>
        <rFont val="Calibri"/>
        <family val="2"/>
        <scheme val="minor"/>
      </rPr>
      <t>Whenever a statistical test supports the alternative hypothesis, you must report</t>
    </r>
  </si>
  <si>
    <t xml:space="preserve"> the test's P-value.  The P-value is the probabilty of rejecting the null hypothesis</t>
  </si>
  <si>
    <t xml:space="preserve">simply due to chance (i.e., the probability that, by chance, some unrepresentative </t>
  </si>
  <si>
    <t>data causes you to reach an erroneous conclusion).</t>
  </si>
  <si>
    <r>
      <t>For This Example</t>
    </r>
    <r>
      <rPr>
        <b/>
        <sz val="11"/>
        <color rgb="FF000000"/>
        <rFont val="Calibri"/>
        <family val="2"/>
        <scheme val="minor"/>
      </rPr>
      <t xml:space="preserve">: </t>
    </r>
  </si>
  <si>
    <r>
      <t>● If the data support the null hypothesis</t>
    </r>
    <r>
      <rPr>
        <sz val="11"/>
        <color rgb="FF000000"/>
        <rFont val="Calibri"/>
        <family val="2"/>
        <scheme val="minor"/>
      </rPr>
      <t>, then any apparent difference between</t>
    </r>
  </si>
  <si>
    <r>
      <t xml:space="preserve">shade-grown </t>
    </r>
    <r>
      <rPr>
        <i/>
        <sz val="11"/>
        <color rgb="FF000000"/>
        <rFont val="Calibri"/>
        <family val="2"/>
        <scheme val="minor"/>
      </rPr>
      <t xml:space="preserve">Erodium cicutarium </t>
    </r>
    <r>
      <rPr>
        <sz val="11"/>
        <color rgb="FF000000"/>
        <rFont val="Calibri"/>
        <family val="2"/>
        <scheme val="minor"/>
      </rPr>
      <t>plants differed in the number of leaves they produced.</t>
    </r>
  </si>
  <si>
    <t>significant.  It also indicates that the probabilty of coming to this conclusion erroneously</t>
  </si>
  <si>
    <t xml:space="preserve"> (due to chance rather than due to the existence of a real difference) is extremely low.</t>
  </si>
  <si>
    <t xml:space="preserve">  So, we can be very confident that we are correct in concluding that the sun-grown plants</t>
  </si>
  <si>
    <t xml:space="preserve"> produced significantly more leaves than the shade-grown plants. </t>
  </si>
  <si>
    <t xml:space="preserve">         S.E. = sample's standard deviation / square root of sample size</t>
  </si>
  <si>
    <t>Shade</t>
  </si>
  <si>
    <t>Sun</t>
  </si>
  <si>
    <t xml:space="preserve"> the numbers of leaves of shade-grown versus sun-grown plants was highly statistically </t>
  </si>
  <si>
    <t xml:space="preserve">mean </t>
  </si>
  <si>
    <r>
      <t>the two groups</t>
    </r>
    <r>
      <rPr>
        <b/>
        <sz val="11"/>
        <color rgb="FF000000"/>
        <rFont val="Calibri"/>
        <family val="2"/>
        <scheme val="minor"/>
      </rPr>
      <t xml:space="preserve"> </t>
    </r>
    <r>
      <rPr>
        <b/>
        <u/>
        <sz val="11"/>
        <color rgb="FF000000"/>
        <rFont val="Calibri"/>
        <family val="2"/>
        <scheme val="minor"/>
      </rPr>
      <t>is</t>
    </r>
    <r>
      <rPr>
        <b/>
        <sz val="11"/>
        <color rgb="FF000000"/>
        <rFont val="Calibri"/>
        <family val="2"/>
        <scheme val="minor"/>
      </rPr>
      <t xml:space="preserve"> </t>
    </r>
    <r>
      <rPr>
        <b/>
        <u/>
        <sz val="11"/>
        <color rgb="FF000000"/>
        <rFont val="Calibri"/>
        <family val="2"/>
        <scheme val="minor"/>
      </rPr>
      <t>not</t>
    </r>
    <r>
      <rPr>
        <sz val="11"/>
        <color rgb="FF000000"/>
        <rFont val="Calibri"/>
        <family val="2"/>
        <scheme val="minor"/>
      </rPr>
      <t xml:space="preserve"> statistically significant (</t>
    </r>
    <r>
      <rPr>
        <b/>
        <sz val="11"/>
        <color rgb="FF000000"/>
        <rFont val="Calibri"/>
        <family val="2"/>
        <scheme val="minor"/>
      </rPr>
      <t>P</t>
    </r>
    <r>
      <rPr>
        <b/>
        <u/>
        <sz val="11"/>
        <color rgb="FF000000"/>
        <rFont val="Calibri"/>
        <family val="2"/>
        <scheme val="minor"/>
      </rPr>
      <t>&gt;</t>
    </r>
    <r>
      <rPr>
        <b/>
        <sz val="11"/>
        <color rgb="FF000000"/>
        <rFont val="Calibri"/>
        <family val="2"/>
        <scheme val="minor"/>
      </rPr>
      <t>0.05</t>
    </r>
    <r>
      <rPr>
        <sz val="11"/>
        <color rgb="FF000000"/>
        <rFont val="Calibri"/>
        <family val="2"/>
        <scheme val="minor"/>
      </rPr>
      <t>).</t>
    </r>
  </si>
  <si>
    <r>
      <t xml:space="preserve">the two groups </t>
    </r>
    <r>
      <rPr>
        <b/>
        <u/>
        <sz val="11"/>
        <color rgb="FF000000"/>
        <rFont val="Calibri"/>
        <family val="2"/>
        <scheme val="minor"/>
      </rPr>
      <t>is</t>
    </r>
    <r>
      <rPr>
        <sz val="11"/>
        <color rgb="FF000000"/>
        <rFont val="Calibri"/>
        <family val="2"/>
        <scheme val="minor"/>
      </rPr>
      <t xml:space="preserve"> statistically significant (</t>
    </r>
    <r>
      <rPr>
        <b/>
        <sz val="11"/>
        <color rgb="FF000000"/>
        <rFont val="Calibri"/>
        <family val="2"/>
        <scheme val="minor"/>
      </rPr>
      <t>P&lt;0.05</t>
    </r>
    <r>
      <rPr>
        <sz val="11"/>
        <color rgb="FF000000"/>
        <rFont val="Calibri"/>
        <family val="2"/>
        <scheme val="minor"/>
      </rPr>
      <t xml:space="preserve">).  This means that the observed </t>
    </r>
  </si>
  <si>
    <t xml:space="preserve">● This example of a two sample t-test addresses whether the sun-grown and </t>
  </si>
  <si>
    <r>
      <t xml:space="preserve">like this, we typically just indicate: </t>
    </r>
    <r>
      <rPr>
        <b/>
        <sz val="11"/>
        <color theme="1"/>
        <rFont val="Calibri"/>
        <family val="2"/>
        <scheme val="minor"/>
      </rPr>
      <t>P&lt;0.0001</t>
    </r>
    <r>
      <rPr>
        <sz val="11"/>
        <color theme="1"/>
        <rFont val="Calibri"/>
        <family val="2"/>
        <scheme val="minor"/>
      </rPr>
      <t>.  This signifies that the difference in</t>
    </r>
  </si>
  <si>
    <t>● This t-test's P-value is very very small (P=2.37E-18) -- much less than 0.05.  For tiny P-values</t>
  </si>
  <si>
    <r>
      <t xml:space="preserve">4.   </t>
    </r>
    <r>
      <rPr>
        <sz val="11"/>
        <color rgb="FF000000"/>
        <rFont val="Calibri"/>
        <family val="2"/>
        <scheme val="minor"/>
      </rPr>
      <t>When S.E. bars of different groups do not overlap, it suggests that</t>
    </r>
  </si>
  <si>
    <r>
      <t xml:space="preserve">3.  </t>
    </r>
    <r>
      <rPr>
        <sz val="11"/>
        <color rgb="FF000000"/>
        <rFont val="Calibri"/>
        <family val="2"/>
        <scheme val="minor"/>
      </rPr>
      <t xml:space="preserve">Standard deviation reflects the variance among leaves in each light-level treatment.  </t>
    </r>
  </si>
  <si>
    <t xml:space="preserve">So, S.E. reflects the amount of variability among the meausrements used to </t>
  </si>
  <si>
    <t>compute the mean.</t>
  </si>
  <si>
    <t>the experimental treatments produced statistically significantly different effects.</t>
  </si>
  <si>
    <t>between two different groups (in this case the 2 groups are shade-grown &amp; sun-grown plants).</t>
  </si>
  <si>
    <r>
      <rPr>
        <b/>
        <sz val="11"/>
        <color rgb="FF000000"/>
        <rFont val="Calibri"/>
        <family val="2"/>
        <scheme val="minor"/>
      </rPr>
      <t xml:space="preserve">7. </t>
    </r>
    <r>
      <rPr>
        <sz val="11"/>
        <color rgb="FF000000"/>
        <rFont val="Calibri"/>
        <family val="2"/>
        <scheme val="minor"/>
      </rPr>
      <t xml:space="preserve">For the two-sample t-test, the </t>
    </r>
    <r>
      <rPr>
        <u/>
        <sz val="11"/>
        <color rgb="FF000000"/>
        <rFont val="Calibri (Body)"/>
      </rPr>
      <t>null</t>
    </r>
    <r>
      <rPr>
        <sz val="11"/>
        <color rgb="FF000000"/>
        <rFont val="Calibri"/>
        <family val="2"/>
        <scheme val="minor"/>
      </rPr>
      <t xml:space="preserve"> </t>
    </r>
    <r>
      <rPr>
        <u/>
        <sz val="11"/>
        <color rgb="FF000000"/>
        <rFont val="Calibri (Body)"/>
      </rPr>
      <t>hypothesis</t>
    </r>
    <r>
      <rPr>
        <sz val="11"/>
        <color rgb="FF000000"/>
        <rFont val="Calibri"/>
        <family val="2"/>
        <scheme val="minor"/>
      </rPr>
      <t xml:space="preserve"> is that there is no difference between the</t>
    </r>
  </si>
  <si>
    <t xml:space="preserve"> groups.</t>
  </si>
  <si>
    <r>
      <t xml:space="preserve">two groups.  And, the </t>
    </r>
    <r>
      <rPr>
        <u/>
        <sz val="11"/>
        <color rgb="FF000000"/>
        <rFont val="Calibri (Body)"/>
      </rPr>
      <t>alternative</t>
    </r>
    <r>
      <rPr>
        <sz val="11"/>
        <color rgb="FF000000"/>
        <rFont val="Calibri"/>
        <family val="2"/>
        <scheme val="minor"/>
      </rPr>
      <t xml:space="preserve"> </t>
    </r>
    <r>
      <rPr>
        <u/>
        <sz val="11"/>
        <color rgb="FF000000"/>
        <rFont val="Calibri (Body)"/>
      </rPr>
      <t>hypothesis</t>
    </r>
    <r>
      <rPr>
        <sz val="11"/>
        <color rgb="FF000000"/>
        <rFont val="Calibri"/>
        <family val="2"/>
        <scheme val="minor"/>
      </rPr>
      <t xml:space="preserve"> is that there is a difference between the two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</si>
</sst>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00"/>
      <name val="Calibri (Body)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47222222222223"/>
          <c:y val="5.0925925925925923E-2"/>
          <c:w val="0.76373006855189285"/>
          <c:h val="0.84171296296296294"/>
        </c:manualLayout>
      </c:layout>
      <c:lineChart>
        <c:grouping val="standard"/>
        <c:varyColors val="0"/>
        <c:ser>
          <c:idx val="0"/>
          <c:order val="0"/>
          <c:tx>
            <c:strRef>
              <c:f>Sheet1!$C$76</c:f>
              <c:strCache>
                <c:ptCount val="1"/>
                <c:pt idx="0">
                  <c:v>mean </c:v>
                </c:pt>
              </c:strCache>
            </c:strRef>
          </c:tx>
          <c:spPr>
            <a:ln w="19050" cap="rnd">
              <a:solidFill>
                <a:srgbClr val="0432FF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Sheet1!$D$77:$D$78</c:f>
                <c:numCache>
                  <c:formatCode>General</c:formatCode>
                  <c:ptCount val="2"/>
                  <c:pt idx="0">
                    <c:v>0.16818095151205184</c:v>
                  </c:pt>
                  <c:pt idx="1">
                    <c:v>0.24663961841448337</c:v>
                  </c:pt>
                </c:numCache>
              </c:numRef>
            </c:plus>
            <c:minus>
              <c:numRef>
                <c:f>Sheet1!$D$77:$D$78</c:f>
                <c:numCache>
                  <c:formatCode>General</c:formatCode>
                  <c:ptCount val="2"/>
                  <c:pt idx="0">
                    <c:v>0.16818095151205184</c:v>
                  </c:pt>
                  <c:pt idx="1">
                    <c:v>0.24663961841448337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Sheet1!$A$77:$A$78</c:f>
              <c:strCache>
                <c:ptCount val="2"/>
                <c:pt idx="0">
                  <c:v>Shade</c:v>
                </c:pt>
                <c:pt idx="1">
                  <c:v>Sun</c:v>
                </c:pt>
              </c:strCache>
            </c:strRef>
          </c:cat>
          <c:val>
            <c:numRef>
              <c:f>Sheet1!$C$77:$C$78</c:f>
              <c:numCache>
                <c:formatCode>General</c:formatCode>
                <c:ptCount val="2"/>
                <c:pt idx="0">
                  <c:v>6.3055555555555554</c:v>
                </c:pt>
                <c:pt idx="1">
                  <c:v>9.8378378378378386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BD-A043-83CC-2847FB1C2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610239"/>
        <c:axId val="153312287"/>
      </c:lineChart>
      <c:catAx>
        <c:axId val="12361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12287"/>
        <c:crosses val="autoZero"/>
        <c:auto val="1"/>
        <c:lblAlgn val="ctr"/>
        <c:lblOffset val="100"/>
        <c:noMultiLvlLbl val="0"/>
      </c:catAx>
      <c:valAx>
        <c:axId val="15331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Number</a:t>
                </a:r>
                <a:r>
                  <a:rPr lang="en-US" sz="1100" baseline="0"/>
                  <a:t> of Leaves/Plant</a:t>
                </a:r>
                <a:endParaRPr lang="en-US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10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265272</xdr:colOff>
      <xdr:row>78</xdr:row>
      <xdr:rowOff>198991</xdr:rowOff>
    </xdr:from>
    <xdr:to>
      <xdr:col>4</xdr:col>
      <xdr:colOff>706390</xdr:colOff>
      <xdr:row>92</xdr:row>
      <xdr:rowOff>105207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55ABF6-175A-D745-B73E-01A0004D0B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0.40055</cdr:x>
      <cdr:y>0.0836</cdr:y>
    </cdr:from>
    <cdr:to>
      <cdr:x>0.58743</cdr:x>
      <cdr:y>0.174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B10C82C-AC37-684B-957D-D941A89D73A2}"/>
            </a:ext>
          </a:extLst>
        </cdr:cNvPr>
        <cdr:cNvSpPr txBox="1"/>
      </cdr:nvSpPr>
      <cdr:spPr>
        <a:xfrm xmlns:a="http://schemas.openxmlformats.org/drawingml/2006/main">
          <a:off x="1561307" y="229627"/>
          <a:ext cx="728451" cy="2483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P&lt;0.0001</a:t>
          </a:r>
        </a:p>
      </cdr:txBody>
    </cdr:sp>
  </cdr:relSizeAnchor>
</c:userShap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1C57C-B06E-D44A-879A-2D9B4747475A}">
  <dimension ref="A1:L132"/>
  <sheetViews>
    <sheetView tabSelected="1" topLeftCell="A36" zoomScale="242" zoomScaleNormal="125" workbookViewId="0">
      <selection activeCell="D116" sqref="D116"/>
    </sheetView>
  </sheetViews>
  <sheetFormatPr baseColWidth="10" defaultRowHeight="16" x14ac:dyDescent="0.2"/>
  <cols>
    <col min="2" max="2" width="10.83203125" customWidth="1"/>
    <col min="3" max="3" width="12.83203125" customWidth="1"/>
    <col min="5" max="5" width="12.1640625" bestFit="1" customWidth="1"/>
    <col min="6" max="6" width="12.83203125" customWidth="1"/>
  </cols>
  <sheetData>
    <row r="1" spans="1:12" x14ac:dyDescent="0.2">
      <c r="A1" s="2" t="s">
        <v>5</v>
      </c>
      <c r="B1" s="2" t="s">
        <v>0</v>
      </c>
      <c r="C1" s="2" t="s">
        <v>4</v>
      </c>
      <c r="D1" s="2"/>
      <c r="E1" s="2"/>
      <c r="F1" s="2"/>
      <c r="G1" s="1"/>
      <c r="H1" s="1"/>
      <c r="I1" s="1"/>
      <c r="J1" s="1"/>
    </row>
    <row r="2" spans="1:12" x14ac:dyDescent="0.2">
      <c r="A2" s="1">
        <v>1</v>
      </c>
      <c r="B2" s="1" t="s">
        <v>2</v>
      </c>
      <c r="C2" s="1">
        <v>8</v>
      </c>
      <c r="D2" s="1"/>
      <c r="E2" s="1"/>
      <c r="F2" s="1"/>
      <c r="G2" s="1"/>
      <c r="H2" s="1"/>
      <c r="I2" s="1"/>
      <c r="J2" s="1"/>
      <c r="K2" s="1"/>
      <c r="L2" s="1"/>
    </row>
    <row r="3" spans="1:12" x14ac:dyDescent="0.2">
      <c r="A3" s="1">
        <v>2</v>
      </c>
      <c r="B3" s="1" t="s">
        <v>2</v>
      </c>
      <c r="C3" s="1">
        <v>8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2">
      <c r="A4" s="1">
        <v>3</v>
      </c>
      <c r="B4" s="1" t="s">
        <v>2</v>
      </c>
      <c r="C4" s="1">
        <v>7</v>
      </c>
      <c r="D4" s="1"/>
      <c r="E4" s="1"/>
      <c r="F4" s="1"/>
      <c r="G4" s="1"/>
      <c r="H4" s="1"/>
      <c r="I4" s="1"/>
      <c r="J4" s="1"/>
      <c r="K4" s="1"/>
      <c r="L4" s="1"/>
    </row>
    <row r="5" spans="1:12" x14ac:dyDescent="0.2">
      <c r="A5" s="1">
        <v>4</v>
      </c>
      <c r="B5" s="1" t="s">
        <v>2</v>
      </c>
      <c r="C5" s="1">
        <v>5</v>
      </c>
      <c r="D5" s="1"/>
      <c r="E5" s="1"/>
      <c r="F5" s="1"/>
      <c r="G5" s="1"/>
      <c r="H5" s="1"/>
      <c r="I5" s="1"/>
      <c r="J5" s="1"/>
      <c r="K5" s="1"/>
      <c r="L5" s="1"/>
    </row>
    <row r="6" spans="1:12" x14ac:dyDescent="0.2">
      <c r="A6" s="1">
        <v>5</v>
      </c>
      <c r="B6" s="1" t="s">
        <v>2</v>
      </c>
      <c r="C6" s="1">
        <v>8</v>
      </c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>
        <v>6</v>
      </c>
      <c r="B7" s="1" t="s">
        <v>2</v>
      </c>
      <c r="C7" s="1">
        <v>7</v>
      </c>
      <c r="D7" s="1"/>
      <c r="E7" s="1"/>
      <c r="F7" s="1"/>
      <c r="G7" s="1"/>
      <c r="H7" s="1"/>
      <c r="I7" s="1"/>
      <c r="J7" s="1"/>
      <c r="K7" s="1"/>
      <c r="L7" s="1"/>
    </row>
    <row r="8" spans="1:12" x14ac:dyDescent="0.2">
      <c r="A8" s="1">
        <v>7</v>
      </c>
      <c r="B8" s="1" t="s">
        <v>2</v>
      </c>
      <c r="C8" s="1">
        <v>6</v>
      </c>
      <c r="D8" s="1"/>
      <c r="E8" s="1"/>
      <c r="F8" s="1"/>
      <c r="G8" s="1"/>
      <c r="H8" s="1"/>
      <c r="I8" s="1"/>
      <c r="J8" s="1"/>
      <c r="K8" s="1"/>
      <c r="L8" s="1"/>
    </row>
    <row r="9" spans="1:12" x14ac:dyDescent="0.2">
      <c r="A9" s="1">
        <v>8</v>
      </c>
      <c r="B9" s="1" t="s">
        <v>2</v>
      </c>
      <c r="C9" s="1">
        <v>7</v>
      </c>
      <c r="D9" s="1"/>
      <c r="E9" s="1"/>
      <c r="F9" s="1"/>
      <c r="G9" s="1"/>
      <c r="H9" s="1"/>
      <c r="I9" s="1"/>
      <c r="J9" s="1"/>
      <c r="K9" s="1"/>
      <c r="L9" s="1"/>
    </row>
    <row r="10" spans="1:12" x14ac:dyDescent="0.2">
      <c r="A10" s="1">
        <v>9</v>
      </c>
      <c r="B10" s="1" t="s">
        <v>2</v>
      </c>
      <c r="C10" s="1">
        <v>7</v>
      </c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">
      <c r="A11" s="1">
        <v>10</v>
      </c>
      <c r="B11" s="1" t="s">
        <v>2</v>
      </c>
      <c r="C11" s="1">
        <v>7</v>
      </c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">
      <c r="A12" s="1">
        <v>11</v>
      </c>
      <c r="B12" s="1" t="s">
        <v>2</v>
      </c>
      <c r="C12" s="1">
        <v>7</v>
      </c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">
      <c r="A13" s="1">
        <v>12</v>
      </c>
      <c r="B13" s="1" t="s">
        <v>2</v>
      </c>
      <c r="C13" s="1">
        <v>8</v>
      </c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">
      <c r="A14" s="1">
        <v>13</v>
      </c>
      <c r="B14" s="1" t="s">
        <v>2</v>
      </c>
      <c r="C14" s="1">
        <v>7</v>
      </c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">
      <c r="A15" s="1">
        <v>14</v>
      </c>
      <c r="B15" s="1" t="s">
        <v>2</v>
      </c>
      <c r="C15" s="1">
        <v>5</v>
      </c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">
      <c r="A16" s="1">
        <v>15</v>
      </c>
      <c r="B16" s="1" t="s">
        <v>2</v>
      </c>
      <c r="C16" s="1">
        <v>5</v>
      </c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">
      <c r="A17" s="1">
        <v>16</v>
      </c>
      <c r="B17" s="1" t="s">
        <v>2</v>
      </c>
      <c r="C17" s="1">
        <v>5</v>
      </c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">
      <c r="A18" s="1">
        <v>17</v>
      </c>
      <c r="B18" s="1" t="s">
        <v>2</v>
      </c>
      <c r="C18" s="1">
        <v>6</v>
      </c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">
      <c r="A19" s="1">
        <v>18</v>
      </c>
      <c r="B19" s="1" t="s">
        <v>2</v>
      </c>
      <c r="C19" s="1">
        <v>6</v>
      </c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">
      <c r="A20" s="1">
        <v>19</v>
      </c>
      <c r="B20" s="1" t="s">
        <v>2</v>
      </c>
      <c r="C20" s="1">
        <v>6</v>
      </c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">
      <c r="A21" s="1">
        <v>20</v>
      </c>
      <c r="B21" s="1" t="s">
        <v>2</v>
      </c>
      <c r="C21" s="1">
        <v>5</v>
      </c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">
      <c r="A22" s="1">
        <v>21</v>
      </c>
      <c r="B22" s="1" t="s">
        <v>2</v>
      </c>
      <c r="C22" s="1">
        <v>7</v>
      </c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">
      <c r="A23" s="1">
        <v>22</v>
      </c>
      <c r="B23" s="1" t="s">
        <v>2</v>
      </c>
      <c r="C23" s="1">
        <v>6</v>
      </c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">
      <c r="A24" s="1">
        <v>23</v>
      </c>
      <c r="B24" s="1" t="s">
        <v>2</v>
      </c>
      <c r="C24" s="1">
        <v>4</v>
      </c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">
      <c r="A25" s="1">
        <v>24</v>
      </c>
      <c r="B25" s="1" t="s">
        <v>2</v>
      </c>
      <c r="C25" s="1">
        <v>5</v>
      </c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">
      <c r="A26" s="1">
        <v>25</v>
      </c>
      <c r="B26" s="1" t="s">
        <v>2</v>
      </c>
      <c r="C26" s="1">
        <v>6</v>
      </c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">
      <c r="A27" s="1">
        <v>26</v>
      </c>
      <c r="B27" s="1" t="s">
        <v>2</v>
      </c>
      <c r="C27" s="1">
        <v>6</v>
      </c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">
      <c r="A28" s="1">
        <v>27</v>
      </c>
      <c r="B28" s="1" t="s">
        <v>2</v>
      </c>
      <c r="C28" s="1">
        <v>6</v>
      </c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">
      <c r="A29" s="1">
        <v>28</v>
      </c>
      <c r="B29" s="1" t="s">
        <v>2</v>
      </c>
      <c r="C29" s="1">
        <v>7</v>
      </c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">
      <c r="A30" s="1">
        <v>29</v>
      </c>
      <c r="B30" s="1" t="s">
        <v>2</v>
      </c>
      <c r="C30" s="1">
        <v>6</v>
      </c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">
      <c r="A31" s="1">
        <v>30</v>
      </c>
      <c r="B31" s="1" t="s">
        <v>2</v>
      </c>
      <c r="C31" s="1">
        <v>7</v>
      </c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">
      <c r="A32" s="1">
        <v>31</v>
      </c>
      <c r="B32" s="1" t="s">
        <v>2</v>
      </c>
      <c r="C32" s="1">
        <v>7</v>
      </c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">
      <c r="A33" s="1">
        <v>32</v>
      </c>
      <c r="B33" s="1" t="s">
        <v>2</v>
      </c>
      <c r="C33" s="1">
        <v>6</v>
      </c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">
      <c r="A34" s="1">
        <v>33</v>
      </c>
      <c r="B34" s="1" t="s">
        <v>2</v>
      </c>
      <c r="C34" s="1">
        <v>5</v>
      </c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">
      <c r="A35" s="1">
        <v>34</v>
      </c>
      <c r="B35" s="1" t="s">
        <v>2</v>
      </c>
      <c r="C35" s="1">
        <v>6</v>
      </c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">
      <c r="A36" s="1">
        <v>35</v>
      </c>
      <c r="B36" s="1" t="s">
        <v>2</v>
      </c>
      <c r="C36" s="1">
        <v>6</v>
      </c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">
      <c r="A37" s="1">
        <v>36</v>
      </c>
      <c r="B37" s="1" t="s">
        <v>2</v>
      </c>
      <c r="C37" s="1">
        <v>7</v>
      </c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">
      <c r="A38" s="1">
        <v>1</v>
      </c>
      <c r="B38" s="1" t="s">
        <v>1</v>
      </c>
      <c r="C38" s="1">
        <v>7</v>
      </c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">
      <c r="A39" s="1">
        <v>2</v>
      </c>
      <c r="B39" s="1" t="s">
        <v>1</v>
      </c>
      <c r="C39" s="1">
        <v>7</v>
      </c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">
      <c r="A40" s="1">
        <v>3</v>
      </c>
      <c r="B40" s="1" t="s">
        <v>1</v>
      </c>
      <c r="C40" s="1">
        <v>9</v>
      </c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">
      <c r="A41" s="1">
        <v>4</v>
      </c>
      <c r="B41" s="1" t="s">
        <v>1</v>
      </c>
      <c r="C41" s="1">
        <v>9</v>
      </c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">
      <c r="A42" s="1">
        <v>5</v>
      </c>
      <c r="B42" s="1" t="s">
        <v>1</v>
      </c>
      <c r="C42" s="1">
        <v>11</v>
      </c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">
      <c r="A43" s="1">
        <v>6</v>
      </c>
      <c r="B43" s="1" t="s">
        <v>1</v>
      </c>
      <c r="C43" s="1">
        <v>11</v>
      </c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">
      <c r="A44" s="1">
        <v>7</v>
      </c>
      <c r="B44" s="1" t="s">
        <v>1</v>
      </c>
      <c r="C44" s="1">
        <v>6</v>
      </c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">
      <c r="A45" s="1">
        <v>8</v>
      </c>
      <c r="B45" s="1" t="s">
        <v>1</v>
      </c>
      <c r="C45" s="1">
        <v>9</v>
      </c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">
      <c r="A46" s="1">
        <v>9</v>
      </c>
      <c r="B46" s="1" t="s">
        <v>1</v>
      </c>
      <c r="C46" s="1">
        <v>11</v>
      </c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">
      <c r="A47" s="1">
        <v>10</v>
      </c>
      <c r="B47" s="1" t="s">
        <v>1</v>
      </c>
      <c r="C47" s="1">
        <v>11</v>
      </c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">
      <c r="A48" s="1">
        <v>11</v>
      </c>
      <c r="B48" s="1" t="s">
        <v>1</v>
      </c>
      <c r="C48" s="1">
        <v>8</v>
      </c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">
      <c r="A49" s="1">
        <v>12</v>
      </c>
      <c r="B49" s="1" t="s">
        <v>1</v>
      </c>
      <c r="C49" s="1">
        <v>9</v>
      </c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">
      <c r="A50" s="1">
        <v>13</v>
      </c>
      <c r="B50" s="1" t="s">
        <v>1</v>
      </c>
      <c r="C50" s="1">
        <v>9</v>
      </c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">
      <c r="A51" s="1">
        <v>14</v>
      </c>
      <c r="B51" s="1" t="s">
        <v>1</v>
      </c>
      <c r="C51" s="1">
        <v>9</v>
      </c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">
      <c r="A52" s="1">
        <v>15</v>
      </c>
      <c r="B52" s="1" t="s">
        <v>1</v>
      </c>
      <c r="C52" s="1">
        <v>8</v>
      </c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2">
      <c r="A53" s="1">
        <v>16</v>
      </c>
      <c r="B53" s="1" t="s">
        <v>1</v>
      </c>
      <c r="C53" s="1">
        <v>11</v>
      </c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2">
      <c r="A54" s="1">
        <v>17</v>
      </c>
      <c r="B54" s="1" t="s">
        <v>1</v>
      </c>
      <c r="C54" s="1">
        <v>9</v>
      </c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2">
      <c r="A55" s="1">
        <v>18</v>
      </c>
      <c r="B55" s="1" t="s">
        <v>1</v>
      </c>
      <c r="C55" s="1">
        <v>9</v>
      </c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2">
      <c r="A56" s="1">
        <v>19</v>
      </c>
      <c r="B56" s="1" t="s">
        <v>1</v>
      </c>
      <c r="C56" s="1">
        <v>10</v>
      </c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2">
      <c r="A57" s="1">
        <v>20</v>
      </c>
      <c r="B57" s="1" t="s">
        <v>1</v>
      </c>
      <c r="C57" s="1">
        <v>13</v>
      </c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2">
      <c r="A58" s="1">
        <v>21</v>
      </c>
      <c r="B58" s="1" t="s">
        <v>1</v>
      </c>
      <c r="C58" s="1">
        <v>10</v>
      </c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2">
      <c r="A59" s="1">
        <v>22</v>
      </c>
      <c r="B59" s="1" t="s">
        <v>1</v>
      </c>
      <c r="C59" s="1">
        <v>10</v>
      </c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2">
      <c r="A60" s="1">
        <v>23</v>
      </c>
      <c r="B60" s="1" t="s">
        <v>1</v>
      </c>
      <c r="C60" s="1">
        <v>11</v>
      </c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2">
      <c r="A61" s="1">
        <v>24</v>
      </c>
      <c r="B61" s="1" t="s">
        <v>1</v>
      </c>
      <c r="C61" s="1">
        <v>11</v>
      </c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2">
      <c r="A62" s="1">
        <v>25</v>
      </c>
      <c r="B62" s="1" t="s">
        <v>1</v>
      </c>
      <c r="C62" s="1">
        <v>9</v>
      </c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2">
      <c r="A63" s="1">
        <v>26</v>
      </c>
      <c r="B63" s="1" t="s">
        <v>1</v>
      </c>
      <c r="C63" s="1">
        <v>8</v>
      </c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2">
      <c r="A64" s="1">
        <v>27</v>
      </c>
      <c r="B64" s="1" t="s">
        <v>1</v>
      </c>
      <c r="C64" s="1">
        <v>10</v>
      </c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2">
      <c r="A65" s="1">
        <v>28</v>
      </c>
      <c r="B65" s="1" t="s">
        <v>1</v>
      </c>
      <c r="C65" s="1">
        <v>11</v>
      </c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2">
      <c r="A66" s="1">
        <v>29</v>
      </c>
      <c r="B66" s="1" t="s">
        <v>1</v>
      </c>
      <c r="C66" s="1">
        <v>11</v>
      </c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2">
      <c r="A67" s="1">
        <v>30</v>
      </c>
      <c r="B67" s="1" t="s">
        <v>1</v>
      </c>
      <c r="C67" s="1">
        <v>11</v>
      </c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2">
      <c r="A68" s="1">
        <v>31</v>
      </c>
      <c r="B68" s="1" t="s">
        <v>1</v>
      </c>
      <c r="C68" s="1">
        <v>11</v>
      </c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2">
      <c r="A69" s="1">
        <v>32</v>
      </c>
      <c r="B69" s="1" t="s">
        <v>1</v>
      </c>
      <c r="C69" s="1">
        <v>11</v>
      </c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2">
      <c r="A70" s="1">
        <v>33</v>
      </c>
      <c r="B70" s="1" t="s">
        <v>1</v>
      </c>
      <c r="C70" s="1">
        <v>10</v>
      </c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2">
      <c r="A71" s="1">
        <v>34</v>
      </c>
      <c r="B71" s="1" t="s">
        <v>1</v>
      </c>
      <c r="C71" s="1">
        <v>11</v>
      </c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2">
      <c r="A72" s="1">
        <v>35</v>
      </c>
      <c r="B72" s="1" t="s">
        <v>1</v>
      </c>
      <c r="C72" s="1">
        <v>11</v>
      </c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2">
      <c r="A73" s="1">
        <v>36</v>
      </c>
      <c r="B73" s="1" t="s">
        <v>1</v>
      </c>
      <c r="C73" s="1">
        <v>10</v>
      </c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2">
      <c r="A74" s="1">
        <v>37</v>
      </c>
      <c r="B74" s="1" t="s">
        <v>1</v>
      </c>
      <c r="C74" s="1">
        <v>12</v>
      </c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2">
      <c r="B75" s="1" t="s">
        <v>3</v>
      </c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2">
      <c r="A76" s="2" t="s">
        <v>0</v>
      </c>
      <c r="B76" s="2" t="s">
        <v>6</v>
      </c>
      <c r="C76" s="2" t="s">
        <v>34</v>
      </c>
      <c r="D76" s="2" t="s">
        <v>7</v>
      </c>
      <c r="E76" s="2" t="s">
        <v>8</v>
      </c>
      <c r="G76" s="1"/>
      <c r="H76" s="1"/>
      <c r="I76" s="1"/>
      <c r="J76" s="1"/>
      <c r="K76" s="1"/>
      <c r="L76" s="1"/>
    </row>
    <row r="77" spans="1:12" x14ac:dyDescent="0.2">
      <c r="A77" s="1" t="s">
        <v>31</v>
      </c>
      <c r="B77" s="1">
        <f>COUNT(A2:A37)</f>
        <v>36</v>
      </c>
      <c r="C77" s="1">
        <f>AVERAGE(C2:C37)</f>
        <v>6.3055555555555554</v>
      </c>
      <c r="D77" s="1">
        <f>STDEV(C2:C37)/SQRT(B77)</f>
        <v>0.16818095151205184</v>
      </c>
      <c r="E77" s="1">
        <f>TTEST(C2:C37,C38:C74,2,2)</f>
        <v>2.374560208122942E-18</v>
      </c>
      <c r="G77" s="1"/>
      <c r="H77" s="1"/>
      <c r="I77" s="1"/>
      <c r="J77" s="1"/>
      <c r="K77" s="1"/>
      <c r="L77" s="1"/>
    </row>
    <row r="78" spans="1:12" x14ac:dyDescent="0.2">
      <c r="A78" s="1" t="s">
        <v>32</v>
      </c>
      <c r="B78" s="1">
        <f>COUNT(A38:A74)</f>
        <v>37</v>
      </c>
      <c r="C78" s="1">
        <f>AVERAGE(C38:C74)</f>
        <v>9.8378378378378386</v>
      </c>
      <c r="D78" s="1">
        <f>STDEV(C38:C74)/SQRT(B78)</f>
        <v>0.24663961841448337</v>
      </c>
      <c r="E78" s="1"/>
      <c r="G78" s="1"/>
      <c r="H78" s="1"/>
      <c r="I78" s="1"/>
      <c r="J78" s="1"/>
      <c r="K78" s="1"/>
      <c r="L78" s="1"/>
    </row>
    <row r="79" spans="1:12" x14ac:dyDescent="0.2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2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2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2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x14ac:dyDescent="0.2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x14ac:dyDescent="0.2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2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x14ac:dyDescent="0.2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x14ac:dyDescent="0.2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x14ac:dyDescent="0.2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x14ac:dyDescent="0.2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x14ac:dyDescent="0.2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4" spans="1:12" x14ac:dyDescent="0.2">
      <c r="A94" s="3"/>
      <c r="B94" s="3"/>
      <c r="C94" s="3"/>
      <c r="D94" s="3"/>
      <c r="E94" s="3"/>
      <c r="F94" s="3"/>
    </row>
    <row r="95" spans="1:12" x14ac:dyDescent="0.2">
      <c r="A95" s="4" t="s">
        <v>9</v>
      </c>
      <c r="B95" s="3"/>
      <c r="C95" s="3"/>
      <c r="D95" s="3"/>
      <c r="E95" s="3"/>
      <c r="F95" s="3"/>
    </row>
    <row r="96" spans="1:12" x14ac:dyDescent="0.2">
      <c r="A96" s="4" t="s">
        <v>10</v>
      </c>
      <c r="B96" s="3"/>
      <c r="C96" s="3"/>
      <c r="D96" s="3"/>
      <c r="E96" s="3"/>
      <c r="F96" s="3"/>
    </row>
    <row r="97" spans="1:6" x14ac:dyDescent="0.2">
      <c r="A97" s="4" t="s">
        <v>11</v>
      </c>
      <c r="B97" s="3"/>
      <c r="C97" s="3"/>
      <c r="D97" s="3"/>
      <c r="E97" s="3"/>
      <c r="F97" s="3"/>
    </row>
    <row r="98" spans="1:6" x14ac:dyDescent="0.2">
      <c r="A98" s="5" t="s">
        <v>30</v>
      </c>
      <c r="B98" s="3"/>
      <c r="C98" s="3"/>
      <c r="D98" s="3"/>
      <c r="E98" s="3"/>
      <c r="F98" s="3"/>
    </row>
    <row r="99" spans="1:6" x14ac:dyDescent="0.2">
      <c r="A99" s="4" t="s">
        <v>41</v>
      </c>
      <c r="B99" s="3"/>
      <c r="C99" s="3"/>
      <c r="D99" s="3"/>
      <c r="E99" s="3"/>
      <c r="F99" s="3"/>
    </row>
    <row r="100" spans="1:6" x14ac:dyDescent="0.2">
      <c r="A100" s="5" t="s">
        <v>42</v>
      </c>
      <c r="B100" s="3"/>
      <c r="C100" s="3"/>
      <c r="D100" s="3"/>
      <c r="E100" s="3"/>
      <c r="F100" s="3"/>
    </row>
    <row r="101" spans="1:6" x14ac:dyDescent="0.2">
      <c r="A101" s="5" t="s">
        <v>43</v>
      </c>
      <c r="B101" s="3"/>
      <c r="C101" s="3"/>
      <c r="D101" s="3"/>
      <c r="E101" s="3"/>
      <c r="F101" s="3"/>
    </row>
    <row r="102" spans="1:6" x14ac:dyDescent="0.2">
      <c r="A102" s="4" t="s">
        <v>40</v>
      </c>
      <c r="B102" s="3"/>
      <c r="C102" s="3"/>
      <c r="D102" s="3"/>
      <c r="E102" s="3"/>
      <c r="F102" s="3"/>
    </row>
    <row r="103" spans="1:6" x14ac:dyDescent="0.2">
      <c r="A103" s="5" t="s">
        <v>44</v>
      </c>
      <c r="B103" s="3"/>
      <c r="C103" s="3"/>
      <c r="D103" s="3"/>
      <c r="E103" s="3"/>
      <c r="F103" s="3"/>
    </row>
    <row r="104" spans="1:6" x14ac:dyDescent="0.2">
      <c r="A104" s="4" t="s">
        <v>12</v>
      </c>
      <c r="B104" s="3"/>
      <c r="C104" s="3"/>
      <c r="D104" s="3"/>
      <c r="E104" s="3"/>
      <c r="F104" s="3"/>
    </row>
    <row r="105" spans="1:6" x14ac:dyDescent="0.2">
      <c r="A105" s="5" t="s">
        <v>13</v>
      </c>
      <c r="B105" s="3"/>
      <c r="C105" s="3"/>
      <c r="D105" s="3"/>
      <c r="E105" s="3"/>
      <c r="F105" s="3"/>
    </row>
    <row r="106" spans="1:6" x14ac:dyDescent="0.2">
      <c r="A106" s="5" t="s">
        <v>14</v>
      </c>
      <c r="B106" s="3"/>
      <c r="C106" s="3"/>
      <c r="D106" s="3"/>
      <c r="E106" s="3"/>
      <c r="F106" s="3"/>
    </row>
    <row r="107" spans="1:6" x14ac:dyDescent="0.2">
      <c r="A107" s="5" t="s">
        <v>15</v>
      </c>
      <c r="B107" s="3"/>
      <c r="C107" s="3"/>
      <c r="D107" s="3"/>
      <c r="E107" s="3"/>
      <c r="F107" s="3"/>
    </row>
    <row r="108" spans="1:6" x14ac:dyDescent="0.2">
      <c r="A108" s="4" t="s">
        <v>16</v>
      </c>
      <c r="B108" s="3"/>
      <c r="C108" s="3"/>
      <c r="D108" s="3"/>
      <c r="E108" s="3"/>
      <c r="F108" s="3"/>
    </row>
    <row r="109" spans="1:6" x14ac:dyDescent="0.2">
      <c r="A109" s="5" t="s">
        <v>45</v>
      </c>
      <c r="B109" s="3"/>
      <c r="C109" s="3"/>
      <c r="D109" s="3"/>
      <c r="E109" s="3"/>
      <c r="F109" s="3"/>
    </row>
    <row r="110" spans="1:6" x14ac:dyDescent="0.2">
      <c r="A110" s="5" t="s">
        <v>46</v>
      </c>
      <c r="B110" s="3"/>
      <c r="C110" s="3"/>
      <c r="D110" s="3"/>
      <c r="E110" s="3"/>
      <c r="F110" s="3"/>
    </row>
    <row r="111" spans="1:6" x14ac:dyDescent="0.2">
      <c r="A111" s="5" t="s">
        <v>48</v>
      </c>
      <c r="B111" s="3"/>
      <c r="C111" s="3"/>
      <c r="D111" s="3"/>
      <c r="E111" s="3"/>
      <c r="F111" s="3"/>
    </row>
    <row r="112" spans="1:6" x14ac:dyDescent="0.2">
      <c r="A112" s="5" t="s">
        <v>47</v>
      </c>
      <c r="B112" s="3"/>
      <c r="C112" s="3"/>
      <c r="D112" s="3"/>
      <c r="E112" s="3"/>
      <c r="F112" s="3"/>
    </row>
    <row r="113" spans="1:6" x14ac:dyDescent="0.2">
      <c r="A113" s="4" t="s">
        <v>24</v>
      </c>
      <c r="B113" s="3"/>
      <c r="C113" s="3"/>
      <c r="D113" s="3"/>
      <c r="E113" s="3"/>
      <c r="F113" s="3"/>
    </row>
    <row r="114" spans="1:6" x14ac:dyDescent="0.2">
      <c r="A114" s="5" t="s">
        <v>35</v>
      </c>
      <c r="B114" s="3"/>
      <c r="C114" s="3"/>
      <c r="D114" s="3"/>
      <c r="E114" s="3"/>
      <c r="F114" s="3"/>
    </row>
    <row r="115" spans="1:6" x14ac:dyDescent="0.2">
      <c r="A115" s="4" t="s">
        <v>17</v>
      </c>
      <c r="B115" s="3"/>
      <c r="C115" s="3"/>
      <c r="D115" s="3"/>
      <c r="E115" s="3"/>
      <c r="F115" s="3"/>
    </row>
    <row r="116" spans="1:6" x14ac:dyDescent="0.2">
      <c r="A116" s="5" t="s">
        <v>36</v>
      </c>
      <c r="B116" s="3"/>
      <c r="C116" s="3"/>
      <c r="D116" s="3"/>
      <c r="E116" s="3"/>
      <c r="F116" s="3"/>
    </row>
    <row r="117" spans="1:6" x14ac:dyDescent="0.2">
      <c r="A117" s="5" t="s">
        <v>18</v>
      </c>
      <c r="B117" s="3"/>
      <c r="C117" s="3"/>
      <c r="D117" s="3"/>
      <c r="E117" s="3"/>
      <c r="F117" s="3"/>
    </row>
    <row r="118" spans="1:6" x14ac:dyDescent="0.2">
      <c r="A118" s="4" t="s">
        <v>19</v>
      </c>
      <c r="B118" s="3"/>
      <c r="C118" s="3"/>
      <c r="D118" s="3"/>
      <c r="E118" s="3"/>
      <c r="F118" s="3"/>
    </row>
    <row r="119" spans="1:6" x14ac:dyDescent="0.2">
      <c r="A119" s="5" t="s">
        <v>20</v>
      </c>
      <c r="B119" s="3"/>
      <c r="C119" s="3"/>
      <c r="D119" s="3"/>
      <c r="E119" s="3"/>
      <c r="F119" s="3"/>
    </row>
    <row r="120" spans="1:6" x14ac:dyDescent="0.2">
      <c r="A120" s="5" t="s">
        <v>21</v>
      </c>
      <c r="B120" s="3"/>
      <c r="C120" s="3"/>
      <c r="D120" s="3"/>
      <c r="E120" s="3"/>
      <c r="F120" s="3"/>
    </row>
    <row r="121" spans="1:6" x14ac:dyDescent="0.2">
      <c r="A121" s="5" t="s">
        <v>22</v>
      </c>
      <c r="B121" s="3"/>
      <c r="C121" s="3"/>
      <c r="D121" s="3"/>
      <c r="E121" s="3"/>
      <c r="F121" s="3"/>
    </row>
    <row r="122" spans="1:6" x14ac:dyDescent="0.2">
      <c r="A122" s="6" t="s">
        <v>23</v>
      </c>
      <c r="B122" s="3"/>
      <c r="C122" s="3"/>
      <c r="D122" s="3"/>
      <c r="E122" s="3"/>
      <c r="F122" s="3"/>
    </row>
    <row r="123" spans="1:6" x14ac:dyDescent="0.2">
      <c r="A123" s="5" t="s">
        <v>37</v>
      </c>
      <c r="B123" s="3"/>
      <c r="C123" s="3"/>
      <c r="D123" s="3"/>
      <c r="E123" s="3"/>
      <c r="F123" s="3"/>
    </row>
    <row r="124" spans="1:6" x14ac:dyDescent="0.2">
      <c r="A124" s="5" t="s">
        <v>25</v>
      </c>
      <c r="B124" s="3"/>
      <c r="C124" s="3"/>
      <c r="D124" s="3"/>
      <c r="E124" s="3"/>
      <c r="F124" s="3"/>
    </row>
    <row r="125" spans="1:6" x14ac:dyDescent="0.2">
      <c r="A125" s="5" t="s">
        <v>39</v>
      </c>
      <c r="B125" s="3"/>
      <c r="C125" s="3"/>
      <c r="D125" s="3"/>
      <c r="E125" s="3"/>
      <c r="F125" s="3"/>
    </row>
    <row r="126" spans="1:6" x14ac:dyDescent="0.2">
      <c r="A126" s="7" t="s">
        <v>38</v>
      </c>
      <c r="B126" s="3"/>
      <c r="C126" s="3"/>
      <c r="D126" s="3"/>
      <c r="E126" s="3"/>
      <c r="F126" s="3"/>
    </row>
    <row r="127" spans="1:6" x14ac:dyDescent="0.2">
      <c r="A127" s="5" t="s">
        <v>33</v>
      </c>
      <c r="B127" s="3"/>
      <c r="C127" s="3"/>
      <c r="D127" s="3"/>
      <c r="E127" s="3"/>
      <c r="F127" s="3"/>
    </row>
    <row r="128" spans="1:6" x14ac:dyDescent="0.2">
      <c r="A128" s="5" t="s">
        <v>26</v>
      </c>
      <c r="B128" s="3"/>
      <c r="C128" s="3"/>
      <c r="D128" s="3"/>
      <c r="E128" s="3"/>
      <c r="F128" s="3"/>
    </row>
    <row r="129" spans="1:6" x14ac:dyDescent="0.2">
      <c r="A129" s="5" t="s">
        <v>27</v>
      </c>
      <c r="B129" s="3"/>
      <c r="C129" s="3"/>
      <c r="D129" s="3"/>
      <c r="E129" s="3"/>
      <c r="F129" s="3"/>
    </row>
    <row r="130" spans="1:6" x14ac:dyDescent="0.2">
      <c r="A130" s="5" t="s">
        <v>28</v>
      </c>
      <c r="B130" s="3"/>
      <c r="C130" s="3"/>
      <c r="D130" s="3"/>
      <c r="E130" s="3"/>
      <c r="F130" s="3"/>
    </row>
    <row r="131" spans="1:6" x14ac:dyDescent="0.2">
      <c r="A131" s="5" t="s">
        <v>29</v>
      </c>
      <c r="B131" s="3"/>
      <c r="C131" s="3"/>
      <c r="D131" s="3"/>
      <c r="E131" s="3"/>
      <c r="F131" s="3"/>
    </row>
    <row r="132" spans="1:6" x14ac:dyDescent="0.2">
      <c r="A132" s="5"/>
      <c r="B132" s="3"/>
      <c r="C132" s="3"/>
      <c r="D132" s="3"/>
      <c r="E132" s="3"/>
      <c r="F132" s="3"/>
    </row>
  </sheetData>
  <pageMargins left="0.7" right="0.7" top="0.75" bottom="0.75" header="0.3" footer="0.3"/>
  <ignoredErrors>
    <ignoredError sqref="B77:B78 C77:C78 D77:D78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Schiffman, Paula M</cp:lastModifiedBy>
  <dcterms:created xsi:type="dcterms:W3CDTF">2021-03-20T02:03:44Z</dcterms:created>
  <dcterms:modified xsi:type="dcterms:W3CDTF">2024-01-29T19:44:13Z</dcterms:modified>
</cp:coreProperties>
</file>